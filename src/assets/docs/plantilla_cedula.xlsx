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is Proyectos\PABS\interplazas\inter.ui\src\assets\docs\"/>
    </mc:Choice>
  </mc:AlternateContent>
  <xr:revisionPtr revIDLastSave="0" documentId="13_ncr:1_{B72CDE06-75A3-4E5D-8783-E68DBC5E6186}" xr6:coauthVersionLast="47" xr6:coauthVersionMax="47" xr10:uidLastSave="{00000000-0000-0000-0000-000000000000}"/>
  <bookViews>
    <workbookView xWindow="-23148" yWindow="-7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7" i="1"/>
  <c r="K36" i="1"/>
  <c r="K22" i="1"/>
  <c r="H22" i="1"/>
  <c r="H12" i="1"/>
  <c r="H25" i="1" s="1"/>
  <c r="K12" i="1"/>
  <c r="K24" i="1" l="1"/>
  <c r="H24" i="1"/>
  <c r="H27" i="1" l="1"/>
</calcChain>
</file>

<file path=xl/sharedStrings.xml><?xml version="1.0" encoding="utf-8"?>
<sst xmlns="http://schemas.openxmlformats.org/spreadsheetml/2006/main" count="79" uniqueCount="48">
  <si>
    <t>PROMOTORA FUTURA</t>
  </si>
  <si>
    <t>TITULAR</t>
  </si>
  <si>
    <t>FINADO</t>
  </si>
  <si>
    <t>CONTRATO</t>
  </si>
  <si>
    <t>FECHA</t>
  </si>
  <si>
    <t>CONCEPTO</t>
  </si>
  <si>
    <t>MONTO</t>
  </si>
  <si>
    <t>SUBTOTAL</t>
  </si>
  <si>
    <t>SALDO PABS*</t>
  </si>
  <si>
    <t xml:space="preserve">PERIODO: </t>
  </si>
  <si>
    <t>SALDOS EFECTIVAMENTE COBRADOS</t>
  </si>
  <si>
    <t>TOTAL COMISIONES:</t>
  </si>
  <si>
    <t>TOTAL SALDOS</t>
  </si>
  <si>
    <t>TOTAL FINAL</t>
  </si>
  <si>
    <t>OBSERVACION</t>
  </si>
  <si>
    <t>FILIAL ORIGEN</t>
  </si>
  <si>
    <r>
      <t xml:space="preserve">SERVICIOS OTORGADOS EN SUCURSAL | POR </t>
    </r>
    <r>
      <rPr>
        <b/>
        <sz val="11"/>
        <color rgb="FFFFFF00"/>
        <rFont val="Calibri"/>
        <family val="2"/>
        <scheme val="minor"/>
      </rPr>
      <t>COBRAR</t>
    </r>
    <r>
      <rPr>
        <b/>
        <sz val="11"/>
        <color theme="0"/>
        <rFont val="Calibri"/>
        <family val="2"/>
        <scheme val="minor"/>
      </rPr>
      <t xml:space="preserve"> A FAVOR DE LA FILIAL</t>
    </r>
  </si>
  <si>
    <t xml:space="preserve">ESTADO DE CUENTA: SERVICIOS CCI </t>
  </si>
  <si>
    <t>FILIAL</t>
  </si>
  <si>
    <t>*El saldo PABS es un dato solamente informativo que no afecta el total a pagar. Es responsabilidad de cada sucursal cobrar al cliente y depositar a la filial origen del contrato. Favor de revisar estos saldos y confirmar los montos para realizar las aclaraciones</t>
  </si>
  <si>
    <r>
      <t xml:space="preserve">SERVICIOS OTORGADOS EN OTRA SUCURSAL | POR </t>
    </r>
    <r>
      <rPr>
        <b/>
        <sz val="11"/>
        <color rgb="FFFFFF00"/>
        <rFont val="Calibri"/>
        <family val="2"/>
        <scheme val="minor"/>
      </rPr>
      <t>PAGAR</t>
    </r>
    <r>
      <rPr>
        <b/>
        <sz val="11"/>
        <color theme="0"/>
        <rFont val="Calibri"/>
        <family val="2"/>
        <scheme val="minor"/>
      </rPr>
      <t xml:space="preserve"> A OTRAS FILIALES</t>
    </r>
  </si>
  <si>
    <t>FILIAL OTORGANTE</t>
  </si>
  <si>
    <t>Comision por Gestion PF 5%</t>
  </si>
  <si>
    <r>
      <t xml:space="preserve">SERVICIOS OTORGADOS EN SUCURSAL E.U.A | POR </t>
    </r>
    <r>
      <rPr>
        <b/>
        <sz val="10"/>
        <color rgb="FFFFFF00"/>
        <rFont val="Calibri"/>
        <family val="2"/>
        <scheme val="minor"/>
      </rPr>
      <t>PAGAR</t>
    </r>
    <r>
      <rPr>
        <b/>
        <sz val="10"/>
        <color rgb="FFFFFFFF"/>
        <rFont val="Calibri"/>
        <family val="2"/>
        <scheme val="minor"/>
      </rPr>
      <t xml:space="preserve"> </t>
    </r>
  </si>
  <si>
    <t>Estos servicios fueron otorgados en Estados Unidos, su pago procederá por separado y en dólares. La tarifa vigente y pactada por mesa directiva para un Servicio CCI con sucursal USA, es de $1,200dlls.</t>
  </si>
  <si>
    <t>TEPIC</t>
  </si>
  <si>
    <t>METALICO</t>
  </si>
  <si>
    <t>LAS VARAS</t>
  </si>
  <si>
    <t>MADERA</t>
  </si>
  <si>
    <t>TEPIC (VILLA HIDALGO)</t>
  </si>
  <si>
    <t>PUERTO VALLARTA</t>
  </si>
  <si>
    <t>TIJUANA</t>
  </si>
  <si>
    <t>AURELIO LEYVA GANDARA</t>
  </si>
  <si>
    <t>PAULA ARELLANO CARRILO</t>
  </si>
  <si>
    <t>X004458</t>
  </si>
  <si>
    <t>MEXICALI</t>
  </si>
  <si>
    <t>JORGE JIMENEZ TOVAR</t>
  </si>
  <si>
    <t>GUADALUPE LLANOS VEGA</t>
  </si>
  <si>
    <t>CIV009258</t>
  </si>
  <si>
    <t>PEDRO IRIBE ARANZUBIA</t>
  </si>
  <si>
    <t>VALERIA SOFIA IRIBE CUEVAS</t>
  </si>
  <si>
    <t>CIV001884</t>
  </si>
  <si>
    <t>FEDERICO FREGOZO MEDELES</t>
  </si>
  <si>
    <t>ALEJANDRINA FREGOZO ARIAS</t>
  </si>
  <si>
    <t>CMN009162</t>
  </si>
  <si>
    <t>URNA</t>
  </si>
  <si>
    <t>{nombreFilial}</t>
  </si>
  <si>
    <t>{nombrePeriodo}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</si>
</sst>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[$-1540A]dd\-mmm\-yy;@"/>
    <numFmt numFmtId="166" formatCode="_-[$$-409]* #,##0.00_ ;_-[$$-409]* \-#,##0.00\ ;_-[$$-409]* &quot;-&quot;??_ ;_-@_ "/>
    <numFmt numFmtId="167" formatCode="_-[$USD]\ * #,##0.00_-;\-[$USD]\ * #,##0.00_-;_-[$USD]\ 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36"/>
      <color theme="8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 "/>
    </font>
    <font>
      <sz val="10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E4E79"/>
        <bgColor indexed="64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">
    <xf numFmtId="0" fontId="0" fillId="0" borderId="0" xfId="0"/>
    <xf numFmtId="164" fontId="6" fillId="3" borderId="0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6" fillId="4" borderId="0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164" fontId="11" fillId="0" borderId="0" xfId="1" applyFont="1" applyAlignment="1">
      <alignment vertical="center"/>
    </xf>
    <xf numFmtId="164" fontId="12" fillId="3" borderId="0" xfId="1" applyFont="1" applyFill="1" applyAlignment="1">
      <alignment vertical="center"/>
    </xf>
    <xf numFmtId="164" fontId="13" fillId="3" borderId="0" xfId="1" applyFont="1" applyFill="1" applyAlignment="1">
      <alignment vertical="center"/>
    </xf>
    <xf numFmtId="164" fontId="11" fillId="4" borderId="0" xfId="1" applyFont="1" applyFill="1" applyBorder="1" applyAlignment="1">
      <alignment vertical="center"/>
    </xf>
    <xf numFmtId="164" fontId="14" fillId="5" borderId="0" xfId="1" applyFont="1" applyFill="1" applyAlignment="1">
      <alignment vertical="center"/>
    </xf>
    <xf numFmtId="0" fontId="1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6" fillId="0" borderId="0" xfId="1" applyFont="1" applyFill="1" applyBorder="1" applyAlignment="1">
      <alignment horizontal="center" vertical="center"/>
    </xf>
    <xf numFmtId="164" fontId="11" fillId="0" borderId="0" xfId="1" applyFont="1" applyFill="1" applyAlignment="1">
      <alignment vertical="center"/>
    </xf>
    <xf numFmtId="164" fontId="6" fillId="3" borderId="0" xfId="1" applyFont="1" applyFill="1" applyBorder="1" applyAlignment="1">
      <alignment horizontal="center" vertical="center" wrapText="1"/>
    </xf>
    <xf numFmtId="164" fontId="14" fillId="3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1" fillId="0" borderId="0" xfId="1" applyFont="1" applyAlignment="1">
      <alignment horizontal="center" vertical="center"/>
    </xf>
    <xf numFmtId="164" fontId="12" fillId="3" borderId="0" xfId="1" applyFont="1" applyFill="1" applyAlignment="1">
      <alignment horizontal="center" vertical="center"/>
    </xf>
    <xf numFmtId="164" fontId="13" fillId="3" borderId="0" xfId="1" applyFont="1" applyFill="1" applyAlignment="1">
      <alignment horizontal="center" vertical="center"/>
    </xf>
    <xf numFmtId="164" fontId="19" fillId="3" borderId="0" xfId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166" fontId="6" fillId="3" borderId="0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4" borderId="0" xfId="1" applyFont="1" applyFill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center"/>
    </xf>
    <xf numFmtId="164" fontId="17" fillId="0" borderId="0" xfId="1" applyFont="1" applyFill="1" applyBorder="1" applyAlignment="1">
      <alignment horizontal="center" vertical="center"/>
    </xf>
    <xf numFmtId="164" fontId="18" fillId="5" borderId="0" xfId="1" applyFont="1" applyFill="1" applyAlignment="1">
      <alignment horizontal="center" vertical="center"/>
    </xf>
    <xf numFmtId="164" fontId="17" fillId="3" borderId="0" xfId="1" applyFont="1" applyFill="1" applyBorder="1" applyAlignment="1">
      <alignment horizontal="right" vertical="center"/>
    </xf>
    <xf numFmtId="164" fontId="19" fillId="3" borderId="0" xfId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20" fillId="5" borderId="0" xfId="0" applyFont="1" applyFill="1" applyAlignment="1">
      <alignment horizontal="right" vertical="center"/>
    </xf>
    <xf numFmtId="167" fontId="21" fillId="6" borderId="0" xfId="1" applyNumberFormat="1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1" fillId="6" borderId="0" xfId="1" applyFont="1" applyFill="1" applyBorder="1" applyAlignment="1">
      <alignment horizontal="center" vertical="center"/>
    </xf>
    <xf numFmtId="0" fontId="18" fillId="5" borderId="0" xfId="0" applyFont="1" applyFill="1" applyAlignment="1">
      <alignment horizontal="right" vertical="center"/>
    </xf>
    <xf numFmtId="49" fontId="15" fillId="7" borderId="0" xfId="0" quotePrefix="1" applyNumberFormat="1" applyFont="1" applyFill="1" applyAlignment="1">
      <alignment horizontal="left" vertical="center"/>
    </xf>
    <xf numFmtId="49" fontId="15" fillId="7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</cellXfs>
  <cellStyles count="32">
    <cellStyle name="Currency" xfId="1" builtinId="4"/>
    <cellStyle name="Moneda 2" xfId="3" xr:uid="{00000000-0005-0000-0000-000001000000}"/>
    <cellStyle name="Moneda 2 2" xfId="9" xr:uid="{00000000-0005-0000-0000-000002000000}"/>
    <cellStyle name="Moneda 2 2 2" xfId="29" xr:uid="{6E0F57C7-FFD5-48D2-B039-DB876BB62C19}"/>
    <cellStyle name="Moneda 2 2 3" xfId="19" xr:uid="{7050F6B5-6160-431C-9470-13C3FFC8EA7F}"/>
    <cellStyle name="Moneda 2 3" xfId="7" xr:uid="{00000000-0005-0000-0000-000003000000}"/>
    <cellStyle name="Moneda 2 3 2" xfId="16" xr:uid="{37BFAD41-2023-43A8-A7D6-771A69DA9AF2}"/>
    <cellStyle name="Moneda 2 4" xfId="23" xr:uid="{4B591E42-83A2-404D-ADA5-4A5A774D1F9A}"/>
    <cellStyle name="Moneda 2 5" xfId="26" xr:uid="{84586801-E212-440F-A149-2AD8BEBD92FE}"/>
    <cellStyle name="Moneda 2 6" xfId="12" xr:uid="{EE36777C-34C2-4F6E-A653-115763F6AF86}"/>
    <cellStyle name="Moneda 3" xfId="2" xr:uid="{00000000-0005-0000-0000-000004000000}"/>
    <cellStyle name="Moneda 3 2" xfId="6" xr:uid="{00000000-0005-0000-0000-000005000000}"/>
    <cellStyle name="Moneda 3 2 2" xfId="30" xr:uid="{3677F632-540E-4B7A-AED0-0FB89490928A}"/>
    <cellStyle name="Moneda 3 2 3" xfId="20" xr:uid="{215183D9-5F29-444C-856F-95032840EB4A}"/>
    <cellStyle name="Moneda 3 3" xfId="15" xr:uid="{FD27BBF9-F0D6-4418-9505-6A1984D59EFE}"/>
    <cellStyle name="Moneda 3 4" xfId="25" xr:uid="{343482A0-9445-4B58-BDC3-0E1EF7B441A9}"/>
    <cellStyle name="Moneda 3 5" xfId="11" xr:uid="{9FA57CE5-DA05-4E4D-98AD-3AC141F9275E}"/>
    <cellStyle name="Moneda 4" xfId="8" xr:uid="{00000000-0005-0000-0000-000006000000}"/>
    <cellStyle name="Moneda 4 2" xfId="21" xr:uid="{557FD3E4-D059-4372-AA54-C8D829FAF593}"/>
    <cellStyle name="Moneda 4 2 2" xfId="31" xr:uid="{B1CC8145-62AE-41D7-A60A-DB50DBBACD41}"/>
    <cellStyle name="Moneda 4 3" xfId="17" xr:uid="{42B681FF-7A2F-4220-862E-E4775C65D161}"/>
    <cellStyle name="Moneda 4 4" xfId="27" xr:uid="{CBD0DF84-B5E6-4AA4-9B8B-17491631A780}"/>
    <cellStyle name="Moneda 4 5" xfId="13" xr:uid="{332C3F48-D7D9-4BF4-A22E-B3D1650DCF38}"/>
    <cellStyle name="Moneda 5" xfId="5" xr:uid="{00000000-0005-0000-0000-000007000000}"/>
    <cellStyle name="Moneda 5 2" xfId="28" xr:uid="{7A14422F-1877-41A7-ADCE-9A8E1FD82C93}"/>
    <cellStyle name="Moneda 5 3" xfId="18" xr:uid="{FFBADCD5-5EAC-4550-8F37-D8C4CAE6791B}"/>
    <cellStyle name="Moneda 6" xfId="14" xr:uid="{DF153EA7-FDB2-4A70-B31B-1B2342A3D024}"/>
    <cellStyle name="Moneda 7" xfId="22" xr:uid="{6737B889-F4A0-43D8-8708-A8A62D8CEEAC}"/>
    <cellStyle name="Moneda 8" xfId="24" xr:uid="{1346CDDD-8EA0-4F02-B717-F6505BBA439D}"/>
    <cellStyle name="Moneda 9" xfId="10" xr:uid="{AA6FE8D7-4997-4A84-86E2-3B4C2677A5BC}"/>
    <cellStyle name="Normal" xfId="0" builtinId="0"/>
    <cellStyle name="Normal 2" xfId="4" xr:uid="{00000000-0005-0000-0000-000009000000}"/>
  </cellStyles>
  <dxfs count="6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0000"/>
      </font>
    </dxf>
    <dxf>
      <font>
        <color auto="1"/>
      </font>
    </dxf>
    <dxf>
      <font>
        <color rgb="FF9C0006"/>
      </font>
    </dxf>
    <dxf>
      <font>
        <color rgb="FFFF0000"/>
      </font>
    </dxf>
    <dxf>
      <font>
        <color auto="1"/>
      </font>
    </dxf>
    <dxf>
      <font>
        <color rgb="FF9C0006"/>
      </font>
    </dxf>
    <dxf>
      <font>
        <color rgb="FFFF0000"/>
      </font>
    </dxf>
    <dxf>
      <font>
        <color auto="1"/>
      </font>
    </dxf>
    <dxf>
      <font>
        <color rgb="FF9C0006"/>
      </font>
    </dxf>
    <dxf>
      <font>
        <color rgb="FFFF0000"/>
      </font>
    </dxf>
    <dxf>
      <font>
        <color auto="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76200</xdr:rowOff>
    </xdr:from>
    <xdr:to>
      <xdr:col>0</xdr:col>
      <xdr:colOff>624840</xdr:colOff>
      <xdr:row>0</xdr:row>
      <xdr:rowOff>588125</xdr:rowOff>
    </xdr:to>
    <xdr:pic>
      <xdr:nvPicPr>
        <xdr:cNvPr id="2" name="Picture 1" descr="Logo Promotora">
          <a:extLst>
            <a:ext uri="{FF2B5EF4-FFF2-40B4-BE49-F238E27FC236}">
              <a16:creationId xmlns:a16="http://schemas.microsoft.com/office/drawing/2014/main" id="{6BF25FE4-77AA-4382-84FB-25F68324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76200"/>
          <a:ext cx="520065" cy="51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A4" zoomScaleNormal="100" workbookViewId="0">
      <selection activeCell="A10" sqref="A10"/>
    </sheetView>
  </sheetViews>
  <sheetFormatPr defaultColWidth="11.42578125" defaultRowHeight="15"/>
  <cols>
    <col min="1" max="1" width="17.85546875" style="4" customWidth="1"/>
    <col min="2" max="2" width="23.28515625" style="4" customWidth="1"/>
    <col min="3" max="3" width="26.7109375" style="4" customWidth="1"/>
    <col min="4" max="4" width="28.28515625" style="4" customWidth="1"/>
    <col min="5" max="7" width="11.42578125" style="4"/>
    <col min="8" max="8" width="16.5703125" style="4" customWidth="1"/>
    <col min="9" max="9" width="18.28515625" style="8" bestFit="1" customWidth="1"/>
    <col min="10" max="10" width="32.42578125" style="20" customWidth="1"/>
    <col min="11" max="11" width="16.5703125" style="8" customWidth="1"/>
    <col min="12" max="14" width="11.42578125" style="13"/>
    <col min="15" max="16384" width="11.42578125" style="4"/>
  </cols>
  <sheetData>
    <row r="1" spans="1:14" ht="54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3" spans="1:14" ht="18.75">
      <c r="A3" s="24"/>
      <c r="B3" s="24"/>
      <c r="C3" s="24"/>
      <c r="D3" s="24"/>
      <c r="E3" s="25" t="s">
        <v>18</v>
      </c>
      <c r="F3" s="46" t="s">
        <v>46</v>
      </c>
      <c r="G3" s="46"/>
      <c r="H3" s="46"/>
      <c r="I3" s="46"/>
      <c r="J3" s="46"/>
      <c r="K3" s="46"/>
    </row>
    <row r="4" spans="1:14">
      <c r="A4" s="5" t="s">
        <v>17</v>
      </c>
      <c r="B4" s="5"/>
      <c r="C4" s="5"/>
      <c r="D4" s="5"/>
      <c r="E4" s="5"/>
      <c r="F4" s="5"/>
      <c r="G4" s="5"/>
      <c r="H4" s="5"/>
      <c r="I4" s="9"/>
      <c r="J4" s="21"/>
      <c r="K4" s="9"/>
    </row>
    <row r="5" spans="1:14">
      <c r="A5" s="5" t="s">
        <v>9</v>
      </c>
      <c r="B5" s="44" t="s">
        <v>47</v>
      </c>
      <c r="C5" s="45"/>
      <c r="D5" s="45"/>
      <c r="E5" s="6"/>
      <c r="F5" s="6"/>
      <c r="G5" s="6"/>
      <c r="H5" s="6"/>
      <c r="I5" s="10"/>
      <c r="J5" s="22"/>
      <c r="K5" s="10"/>
      <c r="M5" s="15"/>
    </row>
    <row r="6" spans="1:14">
      <c r="A6" s="47" t="s">
        <v>19</v>
      </c>
      <c r="B6" s="47"/>
      <c r="C6" s="47"/>
      <c r="D6" s="47"/>
      <c r="E6" s="47"/>
      <c r="F6" s="47"/>
      <c r="G6" s="47"/>
      <c r="H6" s="47"/>
      <c r="I6" s="47"/>
      <c r="J6" s="47"/>
      <c r="K6" s="47"/>
    </row>
    <row r="8" spans="1:14">
      <c r="A8" s="41" t="s">
        <v>16</v>
      </c>
      <c r="B8" s="41"/>
      <c r="C8" s="41"/>
      <c r="D8" s="41"/>
      <c r="E8" s="41"/>
      <c r="F8" s="41"/>
      <c r="G8" s="41"/>
      <c r="H8" s="41"/>
      <c r="I8" s="41"/>
      <c r="J8" s="19"/>
      <c r="K8" s="14"/>
    </row>
    <row r="9" spans="1:14" ht="38.25">
      <c r="A9" s="2" t="s">
        <v>15</v>
      </c>
      <c r="B9" s="2" t="s">
        <v>21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1" t="s">
        <v>6</v>
      </c>
      <c r="I9" s="3" t="s">
        <v>8</v>
      </c>
      <c r="J9" s="15" t="s">
        <v>14</v>
      </c>
      <c r="K9" s="17" t="s">
        <v>10</v>
      </c>
    </row>
    <row r="10" spans="1:14" s="7" customFormat="1" ht="12.75">
      <c r="A10" s="27"/>
      <c r="B10" s="27"/>
      <c r="C10" s="27"/>
      <c r="D10" s="27"/>
      <c r="E10" s="27"/>
      <c r="F10" s="28"/>
      <c r="G10" s="27"/>
      <c r="H10" s="29"/>
      <c r="I10" s="30"/>
      <c r="K10" s="18"/>
      <c r="L10" s="13"/>
      <c r="M10" s="13"/>
      <c r="N10" s="13"/>
    </row>
    <row r="11" spans="1:14" s="7" customFormat="1" ht="12.75">
      <c r="A11" s="27"/>
      <c r="B11" s="27"/>
      <c r="C11" s="27"/>
      <c r="D11" s="27"/>
      <c r="E11" s="27"/>
      <c r="F11" s="28"/>
      <c r="G11" s="27"/>
      <c r="H11" s="31"/>
      <c r="I11" s="30"/>
      <c r="J11" s="32"/>
      <c r="K11" s="18"/>
      <c r="L11" s="13"/>
      <c r="M11" s="13"/>
      <c r="N11" s="13"/>
    </row>
    <row r="12" spans="1:14">
      <c r="G12" s="2" t="s">
        <v>7</v>
      </c>
      <c r="H12" s="1">
        <f>SUM(H10:H11)</f>
        <v>0</v>
      </c>
      <c r="I12" s="11"/>
      <c r="J12" s="2" t="s">
        <v>7</v>
      </c>
      <c r="K12" s="1">
        <f>SUM(K10:K11)</f>
        <v>0</v>
      </c>
    </row>
    <row r="14" spans="1:14">
      <c r="A14" s="41" t="s">
        <v>20</v>
      </c>
      <c r="B14" s="41"/>
      <c r="C14" s="41"/>
      <c r="D14" s="41"/>
      <c r="E14" s="41"/>
      <c r="F14" s="41"/>
      <c r="G14" s="41"/>
      <c r="H14" s="41"/>
      <c r="I14" s="41"/>
      <c r="J14" s="19"/>
      <c r="K14" s="14"/>
    </row>
    <row r="15" spans="1:14" ht="38.25">
      <c r="A15" s="2" t="s">
        <v>15</v>
      </c>
      <c r="B15" s="2" t="s">
        <v>21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1" t="s">
        <v>6</v>
      </c>
      <c r="I15" s="3" t="s">
        <v>8</v>
      </c>
      <c r="J15" s="15" t="s">
        <v>14</v>
      </c>
      <c r="K15" s="17" t="s">
        <v>10</v>
      </c>
    </row>
    <row r="16" spans="1:14" s="7" customFormat="1" ht="12.75">
      <c r="A16" s="27" t="s">
        <v>25</v>
      </c>
      <c r="B16" s="27" t="s">
        <v>27</v>
      </c>
      <c r="C16" s="27" t="s">
        <v>32</v>
      </c>
      <c r="D16" s="27" t="s">
        <v>33</v>
      </c>
      <c r="E16" s="27" t="s">
        <v>34</v>
      </c>
      <c r="F16" s="28">
        <v>45999</v>
      </c>
      <c r="G16" s="27" t="s">
        <v>26</v>
      </c>
      <c r="H16" s="29">
        <v>4500</v>
      </c>
      <c r="I16" s="30">
        <v>0</v>
      </c>
      <c r="K16" s="18">
        <v>0</v>
      </c>
      <c r="L16" s="13"/>
      <c r="M16" s="13"/>
      <c r="N16" s="13"/>
    </row>
    <row r="17" spans="1:14" s="7" customFormat="1" ht="12.75">
      <c r="A17" s="27" t="s">
        <v>25</v>
      </c>
      <c r="B17" s="27" t="s">
        <v>35</v>
      </c>
      <c r="C17" s="27" t="s">
        <v>36</v>
      </c>
      <c r="D17" s="27" t="s">
        <v>37</v>
      </c>
      <c r="E17" s="27" t="s">
        <v>38</v>
      </c>
      <c r="F17" s="28">
        <v>46017</v>
      </c>
      <c r="G17" s="27" t="s">
        <v>28</v>
      </c>
      <c r="H17" s="29">
        <v>6500</v>
      </c>
      <c r="I17" s="30">
        <v>11200</v>
      </c>
      <c r="K17" s="18">
        <v>11200</v>
      </c>
      <c r="L17" s="13"/>
      <c r="M17" s="13"/>
      <c r="N17" s="13"/>
    </row>
    <row r="18" spans="1:14" s="7" customFormat="1" ht="12.75">
      <c r="A18" s="27" t="s">
        <v>29</v>
      </c>
      <c r="B18" s="27" t="s">
        <v>30</v>
      </c>
      <c r="C18" s="27" t="s">
        <v>39</v>
      </c>
      <c r="D18" s="27" t="s">
        <v>40</v>
      </c>
      <c r="E18" s="27" t="s">
        <v>41</v>
      </c>
      <c r="F18" s="28">
        <v>45993</v>
      </c>
      <c r="G18" s="27" t="s">
        <v>26</v>
      </c>
      <c r="H18" s="29">
        <v>4500</v>
      </c>
      <c r="I18" s="30">
        <v>0</v>
      </c>
      <c r="K18" s="18">
        <v>0</v>
      </c>
      <c r="L18" s="13"/>
      <c r="M18" s="13"/>
      <c r="N18" s="13"/>
    </row>
    <row r="19" spans="1:14" s="7" customFormat="1" ht="12.75">
      <c r="A19" s="27" t="s">
        <v>25</v>
      </c>
      <c r="B19" s="27" t="s">
        <v>31</v>
      </c>
      <c r="C19" s="27" t="s">
        <v>42</v>
      </c>
      <c r="D19" s="27" t="s">
        <v>43</v>
      </c>
      <c r="E19" s="27" t="s">
        <v>44</v>
      </c>
      <c r="F19" s="28">
        <v>45994</v>
      </c>
      <c r="G19" s="27" t="s">
        <v>45</v>
      </c>
      <c r="H19" s="29">
        <v>4500</v>
      </c>
      <c r="I19" s="30">
        <v>2700</v>
      </c>
      <c r="K19" s="18">
        <v>0</v>
      </c>
      <c r="L19" s="13"/>
      <c r="M19" s="13"/>
      <c r="N19" s="13"/>
    </row>
    <row r="20" spans="1:14" s="7" customFormat="1" ht="12.75">
      <c r="A20" s="27"/>
      <c r="B20" s="27"/>
      <c r="C20" s="27"/>
      <c r="D20" s="27"/>
      <c r="E20" s="27"/>
      <c r="F20" s="28"/>
      <c r="G20" s="27"/>
      <c r="H20" s="29"/>
      <c r="I20" s="30"/>
      <c r="K20" s="18"/>
      <c r="L20" s="13"/>
      <c r="M20" s="13"/>
      <c r="N20" s="13"/>
    </row>
    <row r="21" spans="1:14" s="7" customFormat="1" ht="12.75">
      <c r="A21" s="27"/>
      <c r="B21" s="27"/>
      <c r="C21" s="27"/>
      <c r="D21" s="27"/>
      <c r="E21" s="27"/>
      <c r="F21" s="28"/>
      <c r="G21" s="27"/>
      <c r="H21" s="31"/>
      <c r="I21" s="30"/>
      <c r="J21" s="15"/>
      <c r="K21" s="18"/>
      <c r="L21" s="13"/>
      <c r="M21" s="13"/>
      <c r="N21" s="13"/>
    </row>
    <row r="22" spans="1:14">
      <c r="G22" s="2" t="s">
        <v>7</v>
      </c>
      <c r="H22" s="1">
        <f>SUM(H16:H21)</f>
        <v>20000</v>
      </c>
      <c r="I22" s="11"/>
      <c r="J22" s="2" t="s">
        <v>7</v>
      </c>
      <c r="K22" s="1">
        <f>SUM(K16:K21)</f>
        <v>11200</v>
      </c>
    </row>
    <row r="23" spans="1:14">
      <c r="K23" s="16"/>
    </row>
    <row r="24" spans="1:14">
      <c r="A24" s="43" t="s">
        <v>11</v>
      </c>
      <c r="B24" s="43"/>
      <c r="C24" s="43"/>
      <c r="D24" s="43"/>
      <c r="E24" s="43"/>
      <c r="F24" s="43"/>
      <c r="G24" s="43"/>
      <c r="H24" s="23">
        <f>H12-H22</f>
        <v>-20000</v>
      </c>
      <c r="I24" s="12"/>
      <c r="J24" s="33" t="s">
        <v>12</v>
      </c>
      <c r="K24" s="23">
        <f>K22-K12</f>
        <v>11200</v>
      </c>
    </row>
    <row r="25" spans="1:14">
      <c r="A25" s="43" t="s">
        <v>22</v>
      </c>
      <c r="B25" s="43"/>
      <c r="C25" s="43"/>
      <c r="D25" s="43"/>
      <c r="E25" s="43"/>
      <c r="F25" s="43"/>
      <c r="G25" s="43"/>
      <c r="H25" s="34">
        <f>H12*5%</f>
        <v>0</v>
      </c>
      <c r="I25" s="35"/>
      <c r="J25" s="35"/>
      <c r="K25" s="35"/>
    </row>
    <row r="27" spans="1:14" ht="31.5">
      <c r="A27" s="37" t="s">
        <v>13</v>
      </c>
      <c r="B27" s="37"/>
      <c r="C27" s="37"/>
      <c r="D27" s="37"/>
      <c r="E27" s="37"/>
      <c r="F27" s="37"/>
      <c r="G27" s="37"/>
      <c r="H27" s="42">
        <f>SUM(H24,K24)</f>
        <v>-8800</v>
      </c>
      <c r="I27" s="42"/>
      <c r="J27" s="42"/>
      <c r="K27" s="42"/>
    </row>
    <row r="31" spans="1:14">
      <c r="A31" s="36" t="s">
        <v>24</v>
      </c>
      <c r="B31" s="36"/>
      <c r="C31" s="36"/>
      <c r="D31" s="36"/>
      <c r="E31" s="36"/>
      <c r="F31" s="36"/>
      <c r="G31" s="36"/>
      <c r="H31" s="36"/>
      <c r="I31" s="36"/>
      <c r="J31"/>
    </row>
    <row r="32" spans="1:14">
      <c r="A32" s="39" t="s">
        <v>23</v>
      </c>
      <c r="B32" s="39"/>
      <c r="C32" s="39"/>
      <c r="D32" s="39"/>
      <c r="E32" s="39"/>
      <c r="F32" s="39"/>
      <c r="G32" s="39"/>
      <c r="H32" s="39"/>
      <c r="I32" s="39"/>
      <c r="J32" s="19"/>
      <c r="K32" s="14"/>
    </row>
    <row r="33" spans="1:11">
      <c r="A33" s="2" t="s">
        <v>15</v>
      </c>
      <c r="B33" s="2" t="s">
        <v>21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5</v>
      </c>
      <c r="H33" s="1" t="s">
        <v>6</v>
      </c>
      <c r="I33" s="3" t="s">
        <v>8</v>
      </c>
      <c r="J33" s="15" t="s">
        <v>14</v>
      </c>
      <c r="K33" s="1" t="s">
        <v>10</v>
      </c>
    </row>
    <row r="34" spans="1:11">
      <c r="A34" s="27"/>
      <c r="B34" s="27"/>
      <c r="C34" s="27"/>
      <c r="D34" s="27"/>
      <c r="E34" s="27"/>
      <c r="F34" s="28"/>
      <c r="G34" s="27"/>
      <c r="H34" s="29"/>
      <c r="I34" s="30"/>
      <c r="J34" s="7"/>
      <c r="K34" s="18"/>
    </row>
    <row r="35" spans="1:11">
      <c r="A35" s="27"/>
      <c r="B35" s="27"/>
      <c r="C35" s="27"/>
      <c r="D35" s="27"/>
      <c r="E35" s="27"/>
      <c r="F35" s="28"/>
      <c r="G35" s="27"/>
      <c r="H35" s="31"/>
      <c r="I35" s="30"/>
      <c r="J35" s="15"/>
      <c r="K35" s="18"/>
    </row>
    <row r="36" spans="1:11">
      <c r="G36" s="2" t="s">
        <v>7</v>
      </c>
      <c r="H36" s="26">
        <f>SUM(H34:H35)</f>
        <v>0</v>
      </c>
      <c r="I36" s="11"/>
      <c r="J36" s="2" t="s">
        <v>7</v>
      </c>
      <c r="K36" s="26">
        <f>SUM(K34:K35)</f>
        <v>0</v>
      </c>
    </row>
    <row r="37" spans="1:11" ht="31.5">
      <c r="A37" s="37" t="s">
        <v>13</v>
      </c>
      <c r="B37" s="37"/>
      <c r="C37" s="37"/>
      <c r="D37" s="37"/>
      <c r="E37" s="37"/>
      <c r="F37" s="37"/>
      <c r="G37" s="37"/>
      <c r="H37" s="38">
        <f>SUM(H34,K34)</f>
        <v>0</v>
      </c>
      <c r="I37" s="38"/>
      <c r="J37" s="38"/>
      <c r="K37" s="38"/>
    </row>
  </sheetData>
  <mergeCells count="13">
    <mergeCell ref="A37:G37"/>
    <mergeCell ref="H37:K37"/>
    <mergeCell ref="A32:I32"/>
    <mergeCell ref="A1:K1"/>
    <mergeCell ref="A8:I8"/>
    <mergeCell ref="A14:I14"/>
    <mergeCell ref="H27:K27"/>
    <mergeCell ref="A27:G27"/>
    <mergeCell ref="A24:G24"/>
    <mergeCell ref="B5:D5"/>
    <mergeCell ref="F3:K3"/>
    <mergeCell ref="A25:G25"/>
    <mergeCell ref="A6:K6"/>
  </mergeCells>
  <conditionalFormatting sqref="C16:C21">
    <cfRule type="duplicateValues" dxfId="61" priority="749"/>
    <cfRule type="duplicateValues" dxfId="60" priority="753"/>
    <cfRule type="duplicateValues" dxfId="59" priority="754"/>
  </conditionalFormatting>
  <conditionalFormatting sqref="C34:C35">
    <cfRule type="duplicateValues" dxfId="58" priority="33"/>
    <cfRule type="duplicateValues" dxfId="57" priority="35"/>
    <cfRule type="duplicateValues" dxfId="56" priority="36"/>
  </conditionalFormatting>
  <conditionalFormatting sqref="D11">
    <cfRule type="duplicateValues" dxfId="55" priority="735"/>
    <cfRule type="duplicateValues" dxfId="54" priority="736"/>
    <cfRule type="duplicateValues" dxfId="53" priority="737"/>
  </conditionalFormatting>
  <conditionalFormatting sqref="D16:D21">
    <cfRule type="duplicateValues" dxfId="52" priority="738"/>
    <cfRule type="duplicateValues" dxfId="51" priority="751"/>
  </conditionalFormatting>
  <conditionalFormatting sqref="D21">
    <cfRule type="duplicateValues" dxfId="50" priority="757"/>
  </conditionalFormatting>
  <conditionalFormatting sqref="D34:D35">
    <cfRule type="duplicateValues" dxfId="49" priority="26"/>
    <cfRule type="duplicateValues" dxfId="48" priority="34"/>
  </conditionalFormatting>
  <conditionalFormatting sqref="D35">
    <cfRule type="duplicateValues" dxfId="47" priority="37"/>
  </conditionalFormatting>
  <conditionalFormatting sqref="D11:E11 E10">
    <cfRule type="duplicateValues" dxfId="46" priority="711"/>
    <cfRule type="duplicateValues" dxfId="45" priority="713"/>
    <cfRule type="duplicateValues" dxfId="44" priority="714"/>
  </conditionalFormatting>
  <conditionalFormatting sqref="D11:E11">
    <cfRule type="duplicateValues" dxfId="43" priority="725"/>
    <cfRule type="duplicateValues" dxfId="42" priority="726"/>
    <cfRule type="duplicateValues" dxfId="41" priority="727"/>
  </conditionalFormatting>
  <conditionalFormatting sqref="D16:E21">
    <cfRule type="duplicateValues" dxfId="40" priority="740"/>
    <cfRule type="duplicateValues" dxfId="39" priority="742"/>
    <cfRule type="duplicateValues" dxfId="38" priority="743"/>
  </conditionalFormatting>
  <conditionalFormatting sqref="D21:E21">
    <cfRule type="duplicateValues" dxfId="37" priority="746"/>
    <cfRule type="duplicateValues" dxfId="36" priority="747"/>
    <cfRule type="duplicateValues" dxfId="35" priority="748"/>
  </conditionalFormatting>
  <conditionalFormatting sqref="D34:E35">
    <cfRule type="duplicateValues" dxfId="34" priority="27"/>
    <cfRule type="duplicateValues" dxfId="33" priority="28"/>
    <cfRule type="duplicateValues" dxfId="32" priority="29"/>
  </conditionalFormatting>
  <conditionalFormatting sqref="D35:E35">
    <cfRule type="duplicateValues" dxfId="31" priority="30"/>
    <cfRule type="duplicateValues" dxfId="30" priority="31"/>
    <cfRule type="duplicateValues" dxfId="29" priority="32"/>
  </conditionalFormatting>
  <conditionalFormatting sqref="E16:E21">
    <cfRule type="duplicateValues" dxfId="28" priority="758"/>
    <cfRule type="duplicateValues" dxfId="27" priority="760"/>
    <cfRule type="duplicateValues" dxfId="26" priority="761"/>
    <cfRule type="duplicateValues" dxfId="25" priority="762"/>
  </conditionalFormatting>
  <conditionalFormatting sqref="E34:E35">
    <cfRule type="duplicateValues" dxfId="24" priority="38"/>
    <cfRule type="duplicateValues" dxfId="23" priority="39"/>
    <cfRule type="duplicateValues" dxfId="22" priority="40"/>
    <cfRule type="duplicateValues" dxfId="21" priority="41"/>
  </conditionalFormatting>
  <conditionalFormatting sqref="H24:H25">
    <cfRule type="cellIs" dxfId="20" priority="522" operator="greaterThan">
      <formula>0</formula>
    </cfRule>
    <cfRule type="cellIs" dxfId="19" priority="525" operator="lessThan">
      <formula>0</formula>
    </cfRule>
    <cfRule type="cellIs" priority="528" operator="greaterThan">
      <formula>0</formula>
    </cfRule>
  </conditionalFormatting>
  <conditionalFormatting sqref="H24:K24 H25">
    <cfRule type="cellIs" dxfId="18" priority="530" operator="lessThan">
      <formula>0</formula>
    </cfRule>
  </conditionalFormatting>
  <conditionalFormatting sqref="H27:K27">
    <cfRule type="cellIs" dxfId="17" priority="520" operator="greaterThan">
      <formula>0</formula>
    </cfRule>
    <cfRule type="cellIs" dxfId="16" priority="523" operator="lessThan">
      <formula>0</formula>
    </cfRule>
    <cfRule type="cellIs" dxfId="15" priority="529" operator="lessThan">
      <formula>0</formula>
    </cfRule>
  </conditionalFormatting>
  <conditionalFormatting sqref="H37:K37">
    <cfRule type="cellIs" dxfId="14" priority="23" operator="greaterThan">
      <formula>0</formula>
    </cfRule>
    <cfRule type="cellIs" dxfId="13" priority="24" operator="lessThan">
      <formula>0</formula>
    </cfRule>
    <cfRule type="cellIs" dxfId="12" priority="25" operator="lessThan">
      <formula>0</formula>
    </cfRule>
  </conditionalFormatting>
  <conditionalFormatting sqref="K24">
    <cfRule type="cellIs" dxfId="11" priority="521" operator="greaterThan">
      <formula>0</formula>
    </cfRule>
    <cfRule type="cellIs" dxfId="10" priority="524" operator="lessThan">
      <formula>0</formula>
    </cfRule>
  </conditionalFormatting>
  <conditionalFormatting sqref="C10:C11">
    <cfRule type="duplicateValues" dxfId="9" priority="763"/>
    <cfRule type="duplicateValues" dxfId="8" priority="764"/>
    <cfRule type="duplicateValues" dxfId="7" priority="765"/>
  </conditionalFormatting>
  <conditionalFormatting sqref="D10">
    <cfRule type="duplicateValues" dxfId="6" priority="766"/>
    <cfRule type="duplicateValues" dxfId="5" priority="767"/>
    <cfRule type="duplicateValues" dxfId="4" priority="768"/>
  </conditionalFormatting>
  <conditionalFormatting sqref="E10:E11">
    <cfRule type="duplicateValues" dxfId="3" priority="772"/>
    <cfRule type="duplicateValues" dxfId="2" priority="773"/>
    <cfRule type="duplicateValues" dxfId="1" priority="774"/>
    <cfRule type="duplicateValues" dxfId="0" priority="77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Roberto Avalos</cp:lastModifiedBy>
  <dcterms:created xsi:type="dcterms:W3CDTF">2021-03-24T00:22:34Z</dcterms:created>
  <dcterms:modified xsi:type="dcterms:W3CDTF">2026-01-20T05:45:21Z</dcterms:modified>
</cp:coreProperties>
</file>